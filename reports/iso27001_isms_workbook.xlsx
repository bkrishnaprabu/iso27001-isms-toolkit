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ISO27001 Gap Analysis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<sst xmlns="http://schemas.openxmlformats.org/spreadsheetml/2006/main" count="372" uniqueCount="266">
  <si>
    <t xml:space="preserve">ISO 27001:2022 — IT Risk Register</t>
  </si>
  <si>
    <t xml:space="preserve">Inherent &amp; Residual Risk Scoring · Likelihood × Impact Matrix</t>
  </si>
  <si>
    <t xml:space="preserve">TOTAL RISKS</t>
  </si>
  <si>
    <t xml:space="preserve">CRITICAL</t>
  </si>
  <si>
    <t xml:space="preserve">HIGH</t>
  </si>
  <si>
    <t xml:space="preserve">AVG RISK REDUCTION</t>
  </si>
  <si>
    <t xml:space="preserve">OPEN TREATMENTS</t>
  </si>
  <si>
    <t xml:space="preserve">OVERDUE</t>
  </si>
  <si>
    <t xml:space="preserve">Risk ID</t>
  </si>
  <si>
    <t xml:space="preserve">Category</t>
  </si>
  <si>
    <t xml:space="preserve">Asset / Process</t>
  </si>
  <si>
    <t xml:space="preserve">Threat</t>
  </si>
  <si>
    <t xml:space="preserve">Vulnerability</t>
  </si>
  <si>
    <t xml:space="preserve">Likelihood
(1-5)</t>
  </si>
  <si>
    <t xml:space="preserve">Impact
(1-5)</t>
  </si>
  <si>
    <t xml:space="preserve">Inherent
Score</t>
  </si>
  <si>
    <t xml:space="preserve">Inherent
Rating</t>
  </si>
  <si>
    <t xml:space="preserve">Existing Controls</t>
  </si>
  <si>
    <t xml:space="preserve">Control
Effectiveness</t>
  </si>
  <si>
    <t xml:space="preserve">Residual
Score</t>
  </si>
  <si>
    <t xml:space="preserve">Residual
Rating</t>
  </si>
  <si>
    <t xml:space="preserve">Risk
Reduction %</t>
  </si>
  <si>
    <t xml:space="preserve">Treatment</t>
  </si>
  <si>
    <t xml:space="preserve">Status</t>
  </si>
  <si>
    <t xml:space="preserve">Owner</t>
  </si>
  <si>
    <t xml:space="preserve">Due Date</t>
  </si>
  <si>
    <t xml:space="preserve">Notes</t>
  </si>
  <si>
    <t xml:space="preserve">R-001</t>
  </si>
  <si>
    <t xml:space="preserve">Cybersecurity</t>
  </si>
  <si>
    <t xml:space="preserve">Email System</t>
  </si>
  <si>
    <t xml:space="preserve">Phishing / BEC Attack</t>
  </si>
  <si>
    <t xml:space="preserve">Lack of DMARC &amp; advanced email filtering</t>
  </si>
  <si>
    <t xml:space="preserve">DMARC, SPF, DKIM deployed; Defender for Office 365</t>
  </si>
  <si>
    <t xml:space="preserve">High</t>
  </si>
  <si>
    <t xml:space="preserve">Implement Defender for O365 Plan 2 + Awareness Training</t>
  </si>
  <si>
    <t xml:space="preserve">Open</t>
  </si>
  <si>
    <t xml:space="preserve">Krishnaprabu</t>
  </si>
  <si>
    <t xml:space="preserve">2025-03-31</t>
  </si>
  <si>
    <t xml:space="preserve">Linked to M365 hardening project</t>
  </si>
  <si>
    <t xml:space="preserve">R-002</t>
  </si>
  <si>
    <t xml:space="preserve">Cloud Security</t>
  </si>
  <si>
    <t xml:space="preserve">Azure Subscriptions</t>
  </si>
  <si>
    <t xml:space="preserve">Misconfigured cloud storage</t>
  </si>
  <si>
    <t xml:space="preserve">Public blob containers, no CSPM</t>
  </si>
  <si>
    <t xml:space="preserve">3</t>
  </si>
  <si>
    <t xml:space="preserve">Azure Policy enforcing no-public-blob</t>
  </si>
  <si>
    <t xml:space="preserve">Medium</t>
  </si>
  <si>
    <t xml:space="preserve">Enable Defender for Storage + Blob Policy</t>
  </si>
  <si>
    <t xml:space="preserve">In Progress</t>
  </si>
  <si>
    <t xml:space="preserve">Cloud Team</t>
  </si>
  <si>
    <t xml:space="preserve">2025-04-15</t>
  </si>
  <si>
    <t xml:space="preserve">Terraform IaC deployment pending</t>
  </si>
  <si>
    <t xml:space="preserve">R-003</t>
  </si>
  <si>
    <t xml:space="preserve">Access Control</t>
  </si>
  <si>
    <t xml:space="preserve">Active Directory</t>
  </si>
  <si>
    <t xml:space="preserve">Privilege escalation</t>
  </si>
  <si>
    <t xml:space="preserve">Excessive admin accounts, no PAM</t>
  </si>
  <si>
    <t xml:space="preserve">AD hardening applied, Ansible playbook</t>
  </si>
  <si>
    <t xml:space="preserve">Deploy PAM solution; enforce tiered admin model</t>
  </si>
  <si>
    <t xml:space="preserve">IT Security</t>
  </si>
  <si>
    <t xml:space="preserve">2025-05-01</t>
  </si>
  <si>
    <t xml:space="preserve">AD Hardening Ansible project addresses this</t>
  </si>
  <si>
    <t xml:space="preserve">R-004</t>
  </si>
  <si>
    <t xml:space="preserve">Data Protection</t>
  </si>
  <si>
    <t xml:space="preserve">Customer Database</t>
  </si>
  <si>
    <t xml:space="preserve">Ransomware / data encryption</t>
  </si>
  <si>
    <t xml:space="preserve">No immutable backups; flat network</t>
  </si>
  <si>
    <t xml:space="preserve">4</t>
  </si>
  <si>
    <t xml:space="preserve">Daily backups to Azure Blob</t>
  </si>
  <si>
    <t xml:space="preserve">Low</t>
  </si>
  <si>
    <t xml:space="preserve">Implement immutable backup vault + network segmentation</t>
  </si>
  <si>
    <t xml:space="preserve">IT Manager</t>
  </si>
  <si>
    <t xml:space="preserve">2025-03-15</t>
  </si>
  <si>
    <t xml:space="preserve">CRITICAL — prioritise immediately</t>
  </si>
  <si>
    <t xml:space="preserve">R-005</t>
  </si>
  <si>
    <t xml:space="preserve">Compliance</t>
  </si>
  <si>
    <t xml:space="preserve">ISMS Documentation</t>
  </si>
  <si>
    <t xml:space="preserve">Audit non-conformity</t>
  </si>
  <si>
    <t xml:space="preserve">Incomplete records and undocumented controls</t>
  </si>
  <si>
    <t xml:space="preserve">2</t>
  </si>
  <si>
    <t xml:space="preserve">Policy library maintained in SharePoint</t>
  </si>
  <si>
    <t xml:space="preserve">Complete SoA update; schedule internal audit</t>
  </si>
  <si>
    <t xml:space="preserve">ISMS Lead</t>
  </si>
  <si>
    <t xml:space="preserve">2025-04-30</t>
  </si>
  <si>
    <t xml:space="preserve">ISO 27001 Stage 2 audit Q3 2025</t>
  </si>
  <si>
    <t xml:space="preserve">R-006</t>
  </si>
  <si>
    <t xml:space="preserve">Third Party</t>
  </si>
  <si>
    <t xml:space="preserve">Cloud Providers</t>
  </si>
  <si>
    <t xml:space="preserve">Third-party data breach</t>
  </si>
  <si>
    <t xml:space="preserve">Inadequate supplier security assessments</t>
  </si>
  <si>
    <t xml:space="preserve">Vendor questionnaires in place</t>
  </si>
  <si>
    <t xml:space="preserve">Implement formal TPCRM programme</t>
  </si>
  <si>
    <t xml:space="preserve">Procurement</t>
  </si>
  <si>
    <t xml:space="preserve">2025-06-01</t>
  </si>
  <si>
    <t xml:space="preserve">Annex A 5.19-5.22 control area</t>
  </si>
  <si>
    <t xml:space="preserve">R-007</t>
  </si>
  <si>
    <t xml:space="preserve">Human Risk</t>
  </si>
  <si>
    <t xml:space="preserve">All Staff</t>
  </si>
  <si>
    <t xml:space="preserve">Social engineering / insider threat</t>
  </si>
  <si>
    <t xml:space="preserve">No security awareness programme</t>
  </si>
  <si>
    <t xml:space="preserve">Annual security training</t>
  </si>
  <si>
    <t xml:space="preserve">Quarterly phishing simulations + role-based training</t>
  </si>
  <si>
    <t xml:space="preserve">HR / Security</t>
  </si>
  <si>
    <t xml:space="preserve">Phishing toolkit project aligned</t>
  </si>
  <si>
    <t xml:space="preserve">R-008</t>
  </si>
  <si>
    <t xml:space="preserve">Network Security</t>
  </si>
  <si>
    <t xml:space="preserve">Corporate Network</t>
  </si>
  <si>
    <t xml:space="preserve">Lateral movement post-breach</t>
  </si>
  <si>
    <t xml:space="preserve">Flat network; no micro-segmentation</t>
  </si>
  <si>
    <t xml:space="preserve">Firewall at perimeter</t>
  </si>
  <si>
    <t xml:space="preserve">Zero Trust architecture via Azure Firewall + segmentation</t>
  </si>
  <si>
    <t xml:space="preserve">Network Team</t>
  </si>
  <si>
    <t xml:space="preserve">2025-05-30</t>
  </si>
  <si>
    <t xml:space="preserve">Zero Trust Terraform project addresses this</t>
  </si>
  <si>
    <t xml:space="preserve">R-009</t>
  </si>
  <si>
    <t xml:space="preserve">Business Continuity</t>
  </si>
  <si>
    <t xml:space="preserve">Critical Applications</t>
  </si>
  <si>
    <t xml:space="preserve">Extended system downtime</t>
  </si>
  <si>
    <t xml:space="preserve">No tested DR plan; single region</t>
  </si>
  <si>
    <t xml:space="preserve">Some manual failover procedures</t>
  </si>
  <si>
    <t xml:space="preserve">Design &amp; test multi-region DR with RTO &lt; 4 hours</t>
  </si>
  <si>
    <t xml:space="preserve">2025-07-01</t>
  </si>
  <si>
    <t xml:space="preserve">BCP/DRP review scheduled Q2 2025</t>
  </si>
  <si>
    <t xml:space="preserve">R-010</t>
  </si>
  <si>
    <t xml:space="preserve">Vulnerability Mgmt</t>
  </si>
  <si>
    <t xml:space="preserve">All Systems</t>
  </si>
  <si>
    <t xml:space="preserve">Unpatched critical vulnerability exploitation</t>
  </si>
  <si>
    <t xml:space="preserve">No automated patch management</t>
  </si>
  <si>
    <t xml:space="preserve">Monthly manual patching</t>
  </si>
  <si>
    <t xml:space="preserve">Deploy Microsoft Intune autopatch + Qualys scanning</t>
  </si>
  <si>
    <t xml:space="preserve">IT Operations</t>
  </si>
  <si>
    <t xml:space="preserve">Aligned to DevSecOps pipeline project</t>
  </si>
  <si>
    <t xml:space="preserve">ISO 27001:2022 — Gap Analysis (All 93 Controls)</t>
  </si>
  <si>
    <t xml:space="preserve">Annex A Control Assessment · Score 0=Not Implemented · 5=Fully Implemented</t>
  </si>
  <si>
    <t xml:space="preserve">Control ID</t>
  </si>
  <si>
    <t xml:space="preserve">Domain</t>
  </si>
  <si>
    <t xml:space="preserve">Control Title</t>
  </si>
  <si>
    <t xml:space="preserve">Description</t>
  </si>
  <si>
    <t xml:space="preserve">Current
Maturity (0-5)</t>
  </si>
  <si>
    <t xml:space="preserve">Target
Maturity</t>
  </si>
  <si>
    <t xml:space="preserve">Gap</t>
  </si>
  <si>
    <t xml:space="preserve">Implementation
Status</t>
  </si>
  <si>
    <t xml:space="preserve">Evidence</t>
  </si>
  <si>
    <t xml:space="preserve">Priority</t>
  </si>
  <si>
    <t xml:space="preserve">Target Date</t>
  </si>
  <si>
    <t xml:space="preserve">5.1</t>
  </si>
  <si>
    <t xml:space="preserve">Org Controls</t>
  </si>
  <si>
    <t xml:space="preserve">Policies for information security</t>
  </si>
  <si>
    <t xml:space="preserve">IS policy reviewed annually and communicated</t>
  </si>
  <si>
    <t xml:space="preserve">Partially Implemented</t>
  </si>
  <si>
    <t xml:space="preserve">IS Policy v3.2 in SharePoint</t>
  </si>
  <si>
    <t xml:space="preserve">2025-Q2</t>
  </si>
  <si>
    <t xml:space="preserve">Needs board sign-off on latest revision</t>
  </si>
  <si>
    <t xml:space="preserve">5.2</t>
  </si>
  <si>
    <t xml:space="preserve">Information security roles</t>
  </si>
  <si>
    <t xml:space="preserve">Roles defined in RACI matrix</t>
  </si>
  <si>
    <t xml:space="preserve">RACI document v1.1</t>
  </si>
  <si>
    <t xml:space="preserve">CISO</t>
  </si>
  <si>
    <t xml:space="preserve">2025-Q1</t>
  </si>
  <si>
    <t xml:space="preserve">Security champion programme needed</t>
  </si>
  <si>
    <t xml:space="preserve">5.14</t>
  </si>
  <si>
    <t xml:space="preserve">Information transfer</t>
  </si>
  <si>
    <t xml:space="preserve">Data classification &amp; transfer controls</t>
  </si>
  <si>
    <t xml:space="preserve">Not Implemented</t>
  </si>
  <si>
    <t xml:space="preserve">Draft policy only</t>
  </si>
  <si>
    <t xml:space="preserve">Legal/IT</t>
  </si>
  <si>
    <t xml:space="preserve">UAE PDPL compliance required</t>
  </si>
  <si>
    <t xml:space="preserve">5.19</t>
  </si>
  <si>
    <t xml:space="preserve">Information security in supplier relationships</t>
  </si>
  <si>
    <t xml:space="preserve">Vendor assessment questionnaire</t>
  </si>
  <si>
    <t xml:space="preserve">25 of 40 vendors assessed</t>
  </si>
  <si>
    <t xml:space="preserve">2025-Q3</t>
  </si>
  <si>
    <t xml:space="preserve">TPCRM programme in development</t>
  </si>
  <si>
    <t xml:space="preserve">6.1</t>
  </si>
  <si>
    <t xml:space="preserve">People Controls</t>
  </si>
  <si>
    <t xml:space="preserve">Screening</t>
  </si>
  <si>
    <t xml:space="preserve">Background checks for all staff</t>
  </si>
  <si>
    <t xml:space="preserve">Mostly Implemented</t>
  </si>
  <si>
    <t xml:space="preserve">HR pre-employment policy</t>
  </si>
  <si>
    <t xml:space="preserve">HR</t>
  </si>
  <si>
    <t xml:space="preserve">Contractor screening gaps</t>
  </si>
  <si>
    <t xml:space="preserve">6.3</t>
  </si>
  <si>
    <t xml:space="preserve">Information security awareness</t>
  </si>
  <si>
    <t xml:space="preserve">Annual training only</t>
  </si>
  <si>
    <t xml:space="preserve">LMS records 2024</t>
  </si>
  <si>
    <t xml:space="preserve">HR/Security</t>
  </si>
  <si>
    <t xml:space="preserve">Phishing simulation programme needed</t>
  </si>
  <si>
    <t xml:space="preserve">7.1</t>
  </si>
  <si>
    <t xml:space="preserve">Physical Controls</t>
  </si>
  <si>
    <t xml:space="preserve">Physical security perimeters</t>
  </si>
  <si>
    <t xml:space="preserve">Datacentre physical access controls</t>
  </si>
  <si>
    <t xml:space="preserve">Fully Implemented</t>
  </si>
  <si>
    <t xml:space="preserve">CCTV, badge access, mantrap</t>
  </si>
  <si>
    <t xml:space="preserve">Facilities</t>
  </si>
  <si>
    <t xml:space="preserve">N/A</t>
  </si>
  <si>
    <t xml:space="preserve">Compliant — evidence on file</t>
  </si>
  <si>
    <t xml:space="preserve">7.4</t>
  </si>
  <si>
    <t xml:space="preserve">Physical security monitoring</t>
  </si>
  <si>
    <t xml:space="preserve">24/7 CCTV, guard rounds</t>
  </si>
  <si>
    <t xml:space="preserve">Security monitoring SOPs</t>
  </si>
  <si>
    <t xml:space="preserve">Annual review completed</t>
  </si>
  <si>
    <t xml:space="preserve">8.2</t>
  </si>
  <si>
    <t xml:space="preserve">Tech Controls</t>
  </si>
  <si>
    <t xml:space="preserve">Privileged access rights</t>
  </si>
  <si>
    <t xml:space="preserve">Privileged accounts reviewed quarterly</t>
  </si>
  <si>
    <t xml:space="preserve">AD access reviews Q4 2024</t>
  </si>
  <si>
    <t xml:space="preserve">IT Admin</t>
  </si>
  <si>
    <t xml:space="preserve">PAM solution required</t>
  </si>
  <si>
    <t xml:space="preserve">8.5</t>
  </si>
  <si>
    <t xml:space="preserve">Secure authentication</t>
  </si>
  <si>
    <t xml:space="preserve">MFA enforced on all SaaS and email</t>
  </si>
  <si>
    <t xml:space="preserve">Entra ID MFA report</t>
  </si>
  <si>
    <t xml:space="preserve">Legacy apps still use passwords</t>
  </si>
  <si>
    <t xml:space="preserve">8.7</t>
  </si>
  <si>
    <t xml:space="preserve">Protection against malware</t>
  </si>
  <si>
    <t xml:space="preserve">Defender for Endpoint deployed</t>
  </si>
  <si>
    <t xml:space="preserve">Defender coverage report</t>
  </si>
  <si>
    <t xml:space="preserve">100% coverage target</t>
  </si>
  <si>
    <t xml:space="preserve">8.8</t>
  </si>
  <si>
    <t xml:space="preserve">Management of technical vulnerabilities</t>
  </si>
  <si>
    <t xml:space="preserve">Monthly scanning partial</t>
  </si>
  <si>
    <t xml:space="preserve">Nessus scan Q3 2024</t>
  </si>
  <si>
    <t xml:space="preserve">IT Ops</t>
  </si>
  <si>
    <t xml:space="preserve">Automated patch management needed</t>
  </si>
  <si>
    <t xml:space="preserve">8.12</t>
  </si>
  <si>
    <t xml:space="preserve">Data leakage prevention</t>
  </si>
  <si>
    <t xml:space="preserve">No DLP implemented</t>
  </si>
  <si>
    <t xml:space="preserve">None</t>
  </si>
  <si>
    <t xml:space="preserve">Microsoft Purview DLP planned</t>
  </si>
  <si>
    <t xml:space="preserve">8.15</t>
  </si>
  <si>
    <t xml:space="preserve">Logging</t>
  </si>
  <si>
    <t xml:space="preserve">SIEM with Sentinel deployed</t>
  </si>
  <si>
    <t xml:space="preserve">Sentinel workspace active</t>
  </si>
  <si>
    <t xml:space="preserve">SOC</t>
  </si>
  <si>
    <t xml:space="preserve">Alert tuning in progress</t>
  </si>
  <si>
    <t xml:space="preserve">8.23</t>
  </si>
  <si>
    <t xml:space="preserve">Web filtering</t>
  </si>
  <si>
    <t xml:space="preserve">Defender for Endpoint + proxy</t>
  </si>
  <si>
    <t xml:space="preserve">Web filter policy active</t>
  </si>
  <si>
    <t xml:space="preserve">Category review needed</t>
  </si>
  <si>
    <t xml:space="preserve">8.24</t>
  </si>
  <si>
    <t xml:space="preserve">Use of cryptography</t>
  </si>
  <si>
    <t xml:space="preserve">Encryption at rest and in transit</t>
  </si>
  <si>
    <t xml:space="preserve">BitLocker, TLS 1.2/1.3</t>
  </si>
  <si>
    <t xml:space="preserve">Key management review due</t>
  </si>
  <si>
    <t xml:space="preserve">8.28</t>
  </si>
  <si>
    <t xml:space="preserve">Secure coding</t>
  </si>
  <si>
    <t xml:space="preserve">DevSecOps pipeline planned</t>
  </si>
  <si>
    <t xml:space="preserve">Pipeline template in dev</t>
  </si>
  <si>
    <t xml:space="preserve">DevOps</t>
  </si>
  <si>
    <t xml:space="preserve">Aligned to DevSecOps project</t>
  </si>
  <si>
    <t xml:space="preserve">8.30</t>
  </si>
  <si>
    <t xml:space="preserve">Outsourced development</t>
  </si>
  <si>
    <t xml:space="preserve">Vendor code review process</t>
  </si>
  <si>
    <t xml:space="preserve">IT/Legal</t>
  </si>
  <si>
    <t xml:space="preserve">Policy needed</t>
  </si>
  <si>
    <t xml:space="preserve">ISMS Executive Dashboard</t>
  </si>
  <si>
    <t xml:space="preserve">TOTAL CONTROLS ASSESSED</t>
  </si>
  <si>
    <t xml:space="preserve">FULLY IMPLEMENTED</t>
  </si>
  <si>
    <t xml:space="preserve">PARTIALLY IMPLEMENTED</t>
  </si>
  <si>
    <t xml:space="preserve">NOT IMPLEMENTED</t>
  </si>
  <si>
    <t xml:space="preserve">CRITICAL RISKS</t>
  </si>
  <si>
    <t xml:space="preserve">18</t>
  </si>
  <si>
    <t xml:space="preserve">Risk Summary by Category</t>
  </si>
  <si>
    <t xml:space="preserve">Count</t>
  </si>
  <si>
    <t xml:space="preserve">Critical+High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</si>
</sst>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A8C8E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2137"/>
        <bgColor rgb="FF003300"/>
      </patternFill>
    </fill>
    <fill>
      <patternFill patternType="solid">
        <fgColor rgb="FF00875A"/>
        <bgColor rgb="FF008080"/>
      </patternFill>
    </fill>
    <fill>
      <patternFill patternType="solid">
        <fgColor rgb="FF991B1B"/>
        <bgColor rgb="FF800000"/>
      </patternFill>
    </fill>
    <fill>
      <patternFill patternType="solid">
        <fgColor rgb="FF92400E"/>
        <bgColor rgb="FF991B1B"/>
      </patternFill>
    </fill>
    <fill>
      <patternFill patternType="solid">
        <fgColor rgb="FF5B21B6"/>
        <bgColor rgb="FF800080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0055A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0875A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55A5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8C8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137"/>
      <rgbColor rgb="FF339966"/>
      <rgbColor rgb="FF003300"/>
      <rgbColor rgb="FF333300"/>
      <rgbColor rgb="FF92400E"/>
      <rgbColor rgb="FF993366"/>
      <rgbColor rgb="FF5B21B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8" min="6" style="1" width="10"/>
    <col collapsed="false" customWidth="true" hidden="false" outlineLevel="0" max="9" min="9" style="1" width="12"/>
    <col collapsed="false" customWidth="true" hidden="false" outlineLevel="0" max="10" min="10" style="1" width="26"/>
    <col collapsed="false" customWidth="true" hidden="false" outlineLevel="0" max="11" min="11" style="1" width="14"/>
    <col collapsed="false" customWidth="true" hidden="false" outlineLevel="0" max="12" min="12" style="1" width="10"/>
    <col collapsed="false" customWidth="true" hidden="false" outlineLevel="0" max="14" min="13" style="1" width="12"/>
    <col collapsed="false" customWidth="true" hidden="false" outlineLevel="0" max="15" min="15" style="1" width="28"/>
    <col collapsed="false" customWidth="true" hidden="false" outlineLevel="0" max="16" min="16" style="1" width="12"/>
    <col collapsed="false" customWidth="true" hidden="false" outlineLevel="0" max="17" min="17" style="1" width="16"/>
    <col collapsed="false" customWidth="true" hidden="false" outlineLevel="0" max="18" min="18" style="1" width="12"/>
    <col collapsed="false" customWidth="true" hidden="false" outlineLevel="0" max="19" min="19" style="1" width="30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5" hidden="false" customHeight="false" outlineLevel="0" collapsed="false">
      <c r="A5" s="4" t="s">
        <v>2</v>
      </c>
      <c r="B5" s="4"/>
      <c r="C5" s="5" t="s">
        <v>3</v>
      </c>
      <c r="D5" s="5"/>
      <c r="E5" s="6" t="s">
        <v>4</v>
      </c>
      <c r="F5" s="6"/>
      <c r="G5" s="7" t="s">
        <v>5</v>
      </c>
      <c r="H5" s="7"/>
      <c r="I5" s="8" t="s">
        <v>6</v>
      </c>
      <c r="J5" s="8"/>
      <c r="K5" s="5" t="s">
        <v>7</v>
      </c>
      <c r="L5" s="5"/>
    </row>
    <row r="6" customFormat="false" ht="19.7" hidden="false" customHeight="false" outlineLevel="0" collapsed="false">
      <c r="A6" s="9" t="n">
        <f aca="false">COUNTA(A12:A200)-1</f>
        <v>6</v>
      </c>
      <c r="B6" s="9"/>
      <c r="C6" s="10" t="n">
        <f aca="false">COUNTIF(J12:J200,"Critical")</f>
        <v>0</v>
      </c>
      <c r="D6" s="10"/>
      <c r="E6" s="11" t="n">
        <f aca="false">COUNTIF(J12:J200,"High")</f>
        <v>0</v>
      </c>
      <c r="F6" s="11"/>
      <c r="G6" s="12" t="str">
        <f aca="false">IFERROR(TEXT(AVERAGE(N12:N200),"0.0")&amp;"%","N/A")</f>
        <v>48.6%</v>
      </c>
      <c r="H6" s="12"/>
      <c r="I6" s="13" t="n">
        <f aca="false">COUNTIF(P12:P200,"Open")</f>
        <v>4</v>
      </c>
      <c r="J6" s="13"/>
      <c r="K6" s="10" t="n">
        <f aca="true">COUNTIF(O12:O200,"&lt;"&amp;TODAY())</f>
        <v>0</v>
      </c>
      <c r="L6" s="10"/>
    </row>
    <row r="7" customFormat="false" ht="13.5" hidden="false" customHeight="true" outlineLevel="0" collapsed="false"/>
    <row r="8" customFormat="false" ht="36" hidden="false" customHeight="true" outlineLevel="0" collapsed="false">
      <c r="A8" s="14" t="s">
        <v>8</v>
      </c>
      <c r="B8" s="14" t="s">
        <v>9</v>
      </c>
      <c r="C8" s="14" t="s">
        <v>10</v>
      </c>
      <c r="D8" s="14" t="s">
        <v>11</v>
      </c>
      <c r="E8" s="14" t="s">
        <v>12</v>
      </c>
      <c r="F8" s="14" t="s">
        <v>13</v>
      </c>
      <c r="G8" s="14" t="s">
        <v>14</v>
      </c>
      <c r="H8" s="14" t="s">
        <v>15</v>
      </c>
      <c r="I8" s="14" t="s">
        <v>16</v>
      </c>
      <c r="J8" s="14" t="s">
        <v>17</v>
      </c>
      <c r="K8" s="14" t="s">
        <v>18</v>
      </c>
      <c r="L8" s="14" t="s">
        <v>19</v>
      </c>
      <c r="M8" s="14" t="s">
        <v>20</v>
      </c>
      <c r="N8" s="14" t="s">
        <v>21</v>
      </c>
      <c r="O8" s="14" t="s">
        <v>22</v>
      </c>
      <c r="P8" s="14" t="s">
        <v>23</v>
      </c>
      <c r="Q8" s="14" t="s">
        <v>24</v>
      </c>
      <c r="R8" s="14" t="s">
        <v>25</v>
      </c>
      <c r="S8" s="14" t="s">
        <v>26</v>
      </c>
    </row>
    <row r="9" customFormat="false" ht="27.75" hidden="false" customHeight="true" outlineLevel="0" collapsed="false">
      <c r="A9" s="15" t="s">
        <v>27</v>
      </c>
      <c r="B9" s="15" t="s">
        <v>28</v>
      </c>
      <c r="C9" s="15" t="s">
        <v>29</v>
      </c>
      <c r="D9" s="15" t="s">
        <v>30</v>
      </c>
      <c r="E9" s="15" t="s">
        <v>31</v>
      </c>
      <c r="F9" s="15" t="n">
        <v>4</v>
      </c>
      <c r="G9" s="15" t="n">
        <v>5</v>
      </c>
      <c r="H9" s="15" t="n">
        <f aca="false">F9*G9</f>
        <v>20</v>
      </c>
      <c r="I9" s="15" t="str">
        <f aca="false">IF(H9&gt;=20,"Critical",IF(H9&gt;=12,"High",IF(H9&gt;=6,"Medium","Low")))</f>
        <v>Critical</v>
      </c>
      <c r="J9" s="15" t="s">
        <v>32</v>
      </c>
      <c r="K9" s="15" t="s">
        <v>33</v>
      </c>
      <c r="L9" s="15" t="n">
        <f aca="false">H9*0.3</f>
        <v>6</v>
      </c>
      <c r="M9" s="15" t="str">
        <f aca="false">IF(L9&gt;=20,"Critical",IF(L9&gt;=12,"High",IF(L9&gt;=6,"Medium","Low")))</f>
        <v>Medium</v>
      </c>
      <c r="N9" s="15" t="n">
        <f aca="false">ROUND((1-L9/H9)*100,1)</f>
        <v>70</v>
      </c>
      <c r="O9" s="15" t="s">
        <v>34</v>
      </c>
      <c r="P9" s="15" t="s">
        <v>35</v>
      </c>
      <c r="Q9" s="15" t="s">
        <v>36</v>
      </c>
      <c r="R9" s="15" t="s">
        <v>37</v>
      </c>
      <c r="S9" s="15" t="s">
        <v>38</v>
      </c>
    </row>
    <row r="10" customFormat="false" ht="27.75" hidden="false" customHeight="true" outlineLevel="0" collapsed="false">
      <c r="A10" s="16" t="s">
        <v>39</v>
      </c>
      <c r="B10" s="16" t="s">
        <v>40</v>
      </c>
      <c r="C10" s="16" t="s">
        <v>41</v>
      </c>
      <c r="D10" s="16" t="s">
        <v>42</v>
      </c>
      <c r="E10" s="16" t="s">
        <v>43</v>
      </c>
      <c r="F10" s="16" t="s">
        <v>44</v>
      </c>
      <c r="G10" s="16" t="n">
        <v>4</v>
      </c>
      <c r="H10" s="16" t="n">
        <f aca="false">F10*G10</f>
        <v>12</v>
      </c>
      <c r="I10" s="16" t="str">
        <f aca="false">IF(H10&gt;=20,"Critical",IF(H10&gt;=12,"High",IF(H10&gt;=6,"Medium","Low")))</f>
        <v>High</v>
      </c>
      <c r="J10" s="16" t="s">
        <v>45</v>
      </c>
      <c r="K10" s="16" t="s">
        <v>46</v>
      </c>
      <c r="L10" s="16" t="n">
        <f aca="false">H10*0.5</f>
        <v>6</v>
      </c>
      <c r="M10" s="16" t="str">
        <f aca="false">IF(L10&gt;=20,"Critical",IF(L10&gt;=12,"High",IF(L10&gt;=6,"Medium","Low")))</f>
        <v>Medium</v>
      </c>
      <c r="N10" s="16" t="n">
        <f aca="false">ROUND((1-L10/H10)*100,1)</f>
        <v>50</v>
      </c>
      <c r="O10" s="16" t="s">
        <v>47</v>
      </c>
      <c r="P10" s="16" t="s">
        <v>48</v>
      </c>
      <c r="Q10" s="16" t="s">
        <v>49</v>
      </c>
      <c r="R10" s="16" t="s">
        <v>50</v>
      </c>
      <c r="S10" s="16" t="s">
        <v>51</v>
      </c>
    </row>
    <row r="11" customFormat="false" ht="27.75" hidden="false" customHeight="true" outlineLevel="0" collapsed="false">
      <c r="A11" s="15" t="s">
        <v>52</v>
      </c>
      <c r="B11" s="15" t="s">
        <v>53</v>
      </c>
      <c r="C11" s="15" t="s">
        <v>54</v>
      </c>
      <c r="D11" s="15" t="s">
        <v>55</v>
      </c>
      <c r="E11" s="15" t="s">
        <v>56</v>
      </c>
      <c r="F11" s="15" t="s">
        <v>44</v>
      </c>
      <c r="G11" s="15" t="n">
        <v>5</v>
      </c>
      <c r="H11" s="15" t="n">
        <f aca="false">F11*G11</f>
        <v>15</v>
      </c>
      <c r="I11" s="15" t="str">
        <f aca="false">IF(H11&gt;=20,"Critical",IF(H11&gt;=12,"High",IF(H11&gt;=6,"Medium","Low")))</f>
        <v>High</v>
      </c>
      <c r="J11" s="15" t="s">
        <v>57</v>
      </c>
      <c r="K11" s="15" t="s">
        <v>46</v>
      </c>
      <c r="L11" s="15" t="n">
        <f aca="false">H11*0.45</f>
        <v>6.75</v>
      </c>
      <c r="M11" s="15" t="str">
        <f aca="false">IF(L11&gt;=20,"Critical",IF(L11&gt;=12,"High",IF(L11&gt;=6,"Medium","Low")))</f>
        <v>Medium</v>
      </c>
      <c r="N11" s="15" t="n">
        <f aca="false">ROUND((1-L11/H11)*100,1)</f>
        <v>55</v>
      </c>
      <c r="O11" s="15" t="s">
        <v>58</v>
      </c>
      <c r="P11" s="15" t="s">
        <v>35</v>
      </c>
      <c r="Q11" s="15" t="s">
        <v>59</v>
      </c>
      <c r="R11" s="15" t="s">
        <v>60</v>
      </c>
      <c r="S11" s="15" t="s">
        <v>61</v>
      </c>
    </row>
    <row r="12" customFormat="false" ht="27.75" hidden="false" customHeight="true" outlineLevel="0" collapsed="false">
      <c r="A12" s="16" t="s">
        <v>62</v>
      </c>
      <c r="B12" s="16" t="s">
        <v>63</v>
      </c>
      <c r="C12" s="16" t="s">
        <v>64</v>
      </c>
      <c r="D12" s="16" t="s">
        <v>65</v>
      </c>
      <c r="E12" s="16" t="s">
        <v>66</v>
      </c>
      <c r="F12" s="16" t="s">
        <v>67</v>
      </c>
      <c r="G12" s="16" t="n">
        <v>5</v>
      </c>
      <c r="H12" s="16" t="n">
        <f aca="false">F12*G12</f>
        <v>20</v>
      </c>
      <c r="I12" s="16" t="str">
        <f aca="false">IF(H12&gt;=20,"Critical",IF(H12&gt;=12,"High",IF(H12&gt;=6,"Medium","Low")))</f>
        <v>Critical</v>
      </c>
      <c r="J12" s="16" t="s">
        <v>68</v>
      </c>
      <c r="K12" s="16" t="s">
        <v>69</v>
      </c>
      <c r="L12" s="16" t="n">
        <f aca="false">H12*0.6</f>
        <v>12</v>
      </c>
      <c r="M12" s="16" t="str">
        <f aca="false">IF(L12&gt;=20,"Critical",IF(L12&gt;=12,"High",IF(L12&gt;=6,"Medium","Low")))</f>
        <v>High</v>
      </c>
      <c r="N12" s="16" t="n">
        <f aca="false">ROUND((1-L12/H12)*100,1)</f>
        <v>40</v>
      </c>
      <c r="O12" s="16" t="s">
        <v>70</v>
      </c>
      <c r="P12" s="16" t="s">
        <v>35</v>
      </c>
      <c r="Q12" s="16" t="s">
        <v>71</v>
      </c>
      <c r="R12" s="16" t="s">
        <v>72</v>
      </c>
      <c r="S12" s="16" t="s">
        <v>73</v>
      </c>
    </row>
    <row r="13" customFormat="false" ht="27.75" hidden="false" customHeight="true" outlineLevel="0" collapsed="false">
      <c r="A13" s="15" t="s">
        <v>74</v>
      </c>
      <c r="B13" s="15" t="s">
        <v>75</v>
      </c>
      <c r="C13" s="15" t="s">
        <v>76</v>
      </c>
      <c r="D13" s="15" t="s">
        <v>77</v>
      </c>
      <c r="E13" s="15" t="s">
        <v>78</v>
      </c>
      <c r="F13" s="15" t="s">
        <v>79</v>
      </c>
      <c r="G13" s="15" t="n">
        <v>4</v>
      </c>
      <c r="H13" s="15" t="n">
        <f aca="false">F13*G13</f>
        <v>8</v>
      </c>
      <c r="I13" s="15" t="str">
        <f aca="false">IF(H13&gt;=20,"Critical",IF(H13&gt;=12,"High",IF(H13&gt;=6,"Medium","Low")))</f>
        <v>Medium</v>
      </c>
      <c r="J13" s="15" t="s">
        <v>80</v>
      </c>
      <c r="K13" s="15" t="s">
        <v>33</v>
      </c>
      <c r="L13" s="15" t="n">
        <f aca="false">H13*0.35</f>
        <v>2.8</v>
      </c>
      <c r="M13" s="15" t="str">
        <f aca="false">IF(L13&gt;=20,"Critical",IF(L13&gt;=12,"High",IF(L13&gt;=6,"Medium","Low")))</f>
        <v>Low</v>
      </c>
      <c r="N13" s="15" t="n">
        <f aca="false">ROUND((1-L13/H13)*100,1)</f>
        <v>65</v>
      </c>
      <c r="O13" s="15" t="s">
        <v>81</v>
      </c>
      <c r="P13" s="15" t="s">
        <v>48</v>
      </c>
      <c r="Q13" s="15" t="s">
        <v>82</v>
      </c>
      <c r="R13" s="15" t="s">
        <v>83</v>
      </c>
      <c r="S13" s="15" t="s">
        <v>84</v>
      </c>
    </row>
    <row r="14" customFormat="false" ht="27.75" hidden="false" customHeight="true" outlineLevel="0" collapsed="false">
      <c r="A14" s="16" t="s">
        <v>85</v>
      </c>
      <c r="B14" s="16" t="s">
        <v>86</v>
      </c>
      <c r="C14" s="16" t="s">
        <v>87</v>
      </c>
      <c r="D14" s="16" t="s">
        <v>88</v>
      </c>
      <c r="E14" s="16" t="s">
        <v>89</v>
      </c>
      <c r="F14" s="16" t="s">
        <v>44</v>
      </c>
      <c r="G14" s="16" t="n">
        <v>4</v>
      </c>
      <c r="H14" s="16" t="n">
        <f aca="false">F14*G14</f>
        <v>12</v>
      </c>
      <c r="I14" s="16" t="str">
        <f aca="false">IF(H14&gt;=20,"Critical",IF(H14&gt;=12,"High",IF(H14&gt;=6,"Medium","Low")))</f>
        <v>High</v>
      </c>
      <c r="J14" s="16" t="s">
        <v>90</v>
      </c>
      <c r="K14" s="16" t="s">
        <v>46</v>
      </c>
      <c r="L14" s="16" t="n">
        <f aca="false">H14*0.55</f>
        <v>6.6</v>
      </c>
      <c r="M14" s="16" t="str">
        <f aca="false">IF(L14&gt;=20,"Critical",IF(L14&gt;=12,"High",IF(L14&gt;=6,"Medium","Low")))</f>
        <v>Medium</v>
      </c>
      <c r="N14" s="16" t="n">
        <f aca="false">ROUND((1-L14/H14)*100,1)</f>
        <v>45</v>
      </c>
      <c r="O14" s="16" t="s">
        <v>91</v>
      </c>
      <c r="P14" s="16" t="s">
        <v>35</v>
      </c>
      <c r="Q14" s="16" t="s">
        <v>92</v>
      </c>
      <c r="R14" s="16" t="s">
        <v>93</v>
      </c>
      <c r="S14" s="16" t="s">
        <v>94</v>
      </c>
    </row>
    <row r="15" customFormat="false" ht="27.75" hidden="false" customHeight="true" outlineLevel="0" collapsed="false">
      <c r="A15" s="15" t="s">
        <v>95</v>
      </c>
      <c r="B15" s="15" t="s">
        <v>96</v>
      </c>
      <c r="C15" s="15" t="s">
        <v>97</v>
      </c>
      <c r="D15" s="15" t="s">
        <v>98</v>
      </c>
      <c r="E15" s="15" t="s">
        <v>99</v>
      </c>
      <c r="F15" s="15" t="s">
        <v>67</v>
      </c>
      <c r="G15" s="15" t="n">
        <v>4</v>
      </c>
      <c r="H15" s="15" t="n">
        <f aca="false">F15*G15</f>
        <v>16</v>
      </c>
      <c r="I15" s="15" t="str">
        <f aca="false">IF(H15&gt;=20,"Critical",IF(H15&gt;=12,"High",IF(H15&gt;=6,"Medium","Low")))</f>
        <v>High</v>
      </c>
      <c r="J15" s="15" t="s">
        <v>100</v>
      </c>
      <c r="K15" s="15" t="s">
        <v>69</v>
      </c>
      <c r="L15" s="15" t="n">
        <f aca="false">H15*0.5</f>
        <v>8</v>
      </c>
      <c r="M15" s="15" t="str">
        <f aca="false">IF(L15&gt;=20,"Critical",IF(L15&gt;=12,"High",IF(L15&gt;=6,"Medium","Low")))</f>
        <v>Medium</v>
      </c>
      <c r="N15" s="15" t="n">
        <f aca="false">ROUND((1-L15/H15)*100,1)</f>
        <v>50</v>
      </c>
      <c r="O15" s="15" t="s">
        <v>101</v>
      </c>
      <c r="P15" s="15" t="s">
        <v>48</v>
      </c>
      <c r="Q15" s="15" t="s">
        <v>102</v>
      </c>
      <c r="R15" s="15" t="s">
        <v>37</v>
      </c>
      <c r="S15" s="15" t="s">
        <v>103</v>
      </c>
    </row>
    <row r="16" customFormat="false" ht="27.75" hidden="false" customHeight="true" outlineLevel="0" collapsed="false">
      <c r="A16" s="16" t="s">
        <v>104</v>
      </c>
      <c r="B16" s="16" t="s">
        <v>105</v>
      </c>
      <c r="C16" s="16" t="s">
        <v>106</v>
      </c>
      <c r="D16" s="16" t="s">
        <v>107</v>
      </c>
      <c r="E16" s="16" t="s">
        <v>108</v>
      </c>
      <c r="F16" s="16" t="s">
        <v>44</v>
      </c>
      <c r="G16" s="16" t="n">
        <v>5</v>
      </c>
      <c r="H16" s="16" t="n">
        <f aca="false">F16*G16</f>
        <v>15</v>
      </c>
      <c r="I16" s="16" t="str">
        <f aca="false">IF(H16&gt;=20,"Critical",IF(H16&gt;=12,"High",IF(H16&gt;=6,"Medium","Low")))</f>
        <v>High</v>
      </c>
      <c r="J16" s="16" t="s">
        <v>109</v>
      </c>
      <c r="K16" s="16" t="s">
        <v>69</v>
      </c>
      <c r="L16" s="16" t="n">
        <f aca="false">H16*0.6</f>
        <v>9</v>
      </c>
      <c r="M16" s="16" t="str">
        <f aca="false">IF(L16&gt;=20,"Critical",IF(L16&gt;=12,"High",IF(L16&gt;=6,"Medium","Low")))</f>
        <v>Medium</v>
      </c>
      <c r="N16" s="16" t="n">
        <f aca="false">ROUND((1-L16/H16)*100,1)</f>
        <v>40</v>
      </c>
      <c r="O16" s="16" t="s">
        <v>110</v>
      </c>
      <c r="P16" s="16" t="s">
        <v>35</v>
      </c>
      <c r="Q16" s="16" t="s">
        <v>111</v>
      </c>
      <c r="R16" s="16" t="s">
        <v>112</v>
      </c>
      <c r="S16" s="16" t="s">
        <v>113</v>
      </c>
    </row>
    <row r="17" customFormat="false" ht="27.75" hidden="false" customHeight="true" outlineLevel="0" collapsed="false">
      <c r="A17" s="15" t="s">
        <v>114</v>
      </c>
      <c r="B17" s="15" t="s">
        <v>115</v>
      </c>
      <c r="C17" s="15" t="s">
        <v>116</v>
      </c>
      <c r="D17" s="15" t="s">
        <v>117</v>
      </c>
      <c r="E17" s="15" t="s">
        <v>118</v>
      </c>
      <c r="F17" s="15" t="s">
        <v>44</v>
      </c>
      <c r="G17" s="15" t="n">
        <v>5</v>
      </c>
      <c r="H17" s="15" t="n">
        <f aca="false">F17*G17</f>
        <v>15</v>
      </c>
      <c r="I17" s="15" t="str">
        <f aca="false">IF(H17&gt;=20,"Critical",IF(H17&gt;=12,"High",IF(H17&gt;=6,"Medium","Low")))</f>
        <v>High</v>
      </c>
      <c r="J17" s="15" t="s">
        <v>119</v>
      </c>
      <c r="K17" s="15" t="s">
        <v>69</v>
      </c>
      <c r="L17" s="15" t="n">
        <f aca="false">H17*0.55</f>
        <v>8.25</v>
      </c>
      <c r="M17" s="15" t="str">
        <f aca="false">IF(L17&gt;=20,"Critical",IF(L17&gt;=12,"High",IF(L17&gt;=6,"Medium","Low")))</f>
        <v>Medium</v>
      </c>
      <c r="N17" s="15" t="n">
        <f aca="false">ROUND((1-L17/H17)*100,1)</f>
        <v>45</v>
      </c>
      <c r="O17" s="15" t="s">
        <v>120</v>
      </c>
      <c r="P17" s="15" t="s">
        <v>35</v>
      </c>
      <c r="Q17" s="15" t="s">
        <v>71</v>
      </c>
      <c r="R17" s="15" t="s">
        <v>121</v>
      </c>
      <c r="S17" s="15" t="s">
        <v>122</v>
      </c>
    </row>
    <row r="18" customFormat="false" ht="27.75" hidden="false" customHeight="true" outlineLevel="0" collapsed="false">
      <c r="A18" s="16" t="s">
        <v>123</v>
      </c>
      <c r="B18" s="16" t="s">
        <v>124</v>
      </c>
      <c r="C18" s="16" t="s">
        <v>125</v>
      </c>
      <c r="D18" s="16" t="s">
        <v>126</v>
      </c>
      <c r="E18" s="16" t="s">
        <v>127</v>
      </c>
      <c r="F18" s="16" t="s">
        <v>44</v>
      </c>
      <c r="G18" s="16" t="n">
        <v>4</v>
      </c>
      <c r="H18" s="16" t="n">
        <f aca="false">F18*G18</f>
        <v>12</v>
      </c>
      <c r="I18" s="16" t="str">
        <f aca="false">IF(H18&gt;=20,"Critical",IF(H18&gt;=12,"High",IF(H18&gt;=6,"Medium","Low")))</f>
        <v>High</v>
      </c>
      <c r="J18" s="16" t="s">
        <v>128</v>
      </c>
      <c r="K18" s="16" t="s">
        <v>46</v>
      </c>
      <c r="L18" s="16" t="n">
        <f aca="false">H18*0.45</f>
        <v>5.4</v>
      </c>
      <c r="M18" s="16" t="str">
        <f aca="false">IF(L18&gt;=20,"Critical",IF(L18&gt;=12,"High",IF(L18&gt;=6,"Medium","Low")))</f>
        <v>Low</v>
      </c>
      <c r="N18" s="16" t="n">
        <f aca="false">ROUND((1-L18/H18)*100,1)</f>
        <v>55</v>
      </c>
      <c r="O18" s="16" t="s">
        <v>129</v>
      </c>
      <c r="P18" s="16" t="s">
        <v>48</v>
      </c>
      <c r="Q18" s="16" t="s">
        <v>130</v>
      </c>
      <c r="R18" s="16" t="s">
        <v>50</v>
      </c>
      <c r="S18" s="16" t="s">
        <v>131</v>
      </c>
    </row>
  </sheetData>
  <mergeCells count="14">
    <mergeCell ref="A1:L1"/>
    <mergeCell ref="A2:L2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28"/>
    <col collapsed="false" customWidth="true" hidden="false" outlineLevel="0" max="4" min="4" style="1" width="36"/>
    <col collapsed="false" customWidth="true" hidden="false" outlineLevel="0" max="6" min="5" style="1" width="10"/>
    <col collapsed="false" customWidth="true" hidden="false" outlineLevel="0" max="7" min="7" style="1" width="8"/>
    <col collapsed="false" customWidth="true" hidden="false" outlineLevel="0" max="8" min="8" style="1" width="18"/>
    <col collapsed="false" customWidth="true" hidden="false" outlineLevel="0" max="9" min="9" style="1" width="28"/>
    <col collapsed="false" customWidth="true" hidden="false" outlineLevel="0" max="10" min="10" style="1" width="10"/>
    <col collapsed="false" customWidth="true" hidden="false" outlineLevel="0" max="11" min="11" style="1" width="16"/>
    <col collapsed="false" customWidth="true" hidden="false" outlineLevel="0" max="12" min="12" style="1" width="12"/>
    <col collapsed="false" customWidth="true" hidden="false" outlineLevel="0" max="13" min="13" style="1" width="30"/>
  </cols>
  <sheetData>
    <row r="1" customFormat="false" ht="15" hidden="false" customHeight="false" outlineLevel="0" collapsed="false">
      <c r="A1" s="2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6" hidden="false" customHeight="true" outlineLevel="0" collapsed="false">
      <c r="A4" s="14" t="s">
        <v>134</v>
      </c>
      <c r="B4" s="14" t="s">
        <v>135</v>
      </c>
      <c r="C4" s="14" t="s">
        <v>136</v>
      </c>
      <c r="D4" s="14" t="s">
        <v>137</v>
      </c>
      <c r="E4" s="14" t="s">
        <v>138</v>
      </c>
      <c r="F4" s="14" t="s">
        <v>139</v>
      </c>
      <c r="G4" s="14" t="s">
        <v>140</v>
      </c>
      <c r="H4" s="14" t="s">
        <v>141</v>
      </c>
      <c r="I4" s="14" t="s">
        <v>142</v>
      </c>
      <c r="J4" s="14" t="s">
        <v>143</v>
      </c>
      <c r="K4" s="14" t="s">
        <v>24</v>
      </c>
      <c r="L4" s="14" t="s">
        <v>144</v>
      </c>
      <c r="M4" s="14" t="s">
        <v>26</v>
      </c>
    </row>
    <row r="5" customFormat="false" ht="27.75" hidden="false" customHeight="true" outlineLevel="0" collapsed="false">
      <c r="A5" s="15" t="s">
        <v>145</v>
      </c>
      <c r="B5" s="15" t="s">
        <v>146</v>
      </c>
      <c r="C5" s="15" t="s">
        <v>147</v>
      </c>
      <c r="D5" s="15" t="s">
        <v>148</v>
      </c>
      <c r="E5" s="15" t="n">
        <v>4</v>
      </c>
      <c r="F5" s="15" t="n">
        <v>5</v>
      </c>
      <c r="G5" s="15" t="n">
        <v>3</v>
      </c>
      <c r="H5" s="15" t="s">
        <v>149</v>
      </c>
      <c r="I5" s="15" t="s">
        <v>150</v>
      </c>
      <c r="J5" s="15" t="s">
        <v>33</v>
      </c>
      <c r="K5" s="15" t="s">
        <v>82</v>
      </c>
      <c r="L5" s="15" t="s">
        <v>151</v>
      </c>
      <c r="M5" s="15" t="s">
        <v>152</v>
      </c>
    </row>
    <row r="6" customFormat="false" ht="27.75" hidden="false" customHeight="true" outlineLevel="0" collapsed="false">
      <c r="A6" s="16" t="s">
        <v>153</v>
      </c>
      <c r="B6" s="16" t="s">
        <v>146</v>
      </c>
      <c r="C6" s="16" t="s">
        <v>154</v>
      </c>
      <c r="D6" s="16" t="s">
        <v>155</v>
      </c>
      <c r="E6" s="16" t="n">
        <v>3</v>
      </c>
      <c r="F6" s="16" t="n">
        <v>5</v>
      </c>
      <c r="G6" s="16" t="n">
        <v>3</v>
      </c>
      <c r="H6" s="16" t="s">
        <v>149</v>
      </c>
      <c r="I6" s="16" t="s">
        <v>156</v>
      </c>
      <c r="J6" s="16" t="s">
        <v>33</v>
      </c>
      <c r="K6" s="16" t="s">
        <v>157</v>
      </c>
      <c r="L6" s="16" t="s">
        <v>158</v>
      </c>
      <c r="M6" s="16" t="s">
        <v>159</v>
      </c>
    </row>
    <row r="7" customFormat="false" ht="27.75" hidden="false" customHeight="true" outlineLevel="0" collapsed="false">
      <c r="A7" s="15" t="s">
        <v>160</v>
      </c>
      <c r="B7" s="15" t="s">
        <v>146</v>
      </c>
      <c r="C7" s="15" t="s">
        <v>161</v>
      </c>
      <c r="D7" s="15" t="s">
        <v>162</v>
      </c>
      <c r="E7" s="15" t="n">
        <v>2</v>
      </c>
      <c r="F7" s="15" t="n">
        <v>4</v>
      </c>
      <c r="G7" s="15" t="n">
        <v>4</v>
      </c>
      <c r="H7" s="15" t="s">
        <v>163</v>
      </c>
      <c r="I7" s="15" t="s">
        <v>164</v>
      </c>
      <c r="J7" s="15" t="s">
        <v>33</v>
      </c>
      <c r="K7" s="15" t="s">
        <v>165</v>
      </c>
      <c r="L7" s="15" t="s">
        <v>151</v>
      </c>
      <c r="M7" s="15" t="s">
        <v>166</v>
      </c>
    </row>
    <row r="8" customFormat="false" ht="27.75" hidden="false" customHeight="true" outlineLevel="0" collapsed="false">
      <c r="A8" s="16" t="s">
        <v>167</v>
      </c>
      <c r="B8" s="16" t="s">
        <v>146</v>
      </c>
      <c r="C8" s="16" t="s">
        <v>168</v>
      </c>
      <c r="D8" s="16" t="s">
        <v>169</v>
      </c>
      <c r="E8" s="16" t="n">
        <v>3</v>
      </c>
      <c r="F8" s="16" t="n">
        <v>5</v>
      </c>
      <c r="G8" s="16" t="n">
        <v>3</v>
      </c>
      <c r="H8" s="16" t="s">
        <v>149</v>
      </c>
      <c r="I8" s="16" t="s">
        <v>170</v>
      </c>
      <c r="J8" s="16" t="s">
        <v>33</v>
      </c>
      <c r="K8" s="16" t="s">
        <v>92</v>
      </c>
      <c r="L8" s="16" t="s">
        <v>171</v>
      </c>
      <c r="M8" s="16" t="s">
        <v>172</v>
      </c>
    </row>
    <row r="9" customFormat="false" ht="27.75" hidden="false" customHeight="true" outlineLevel="0" collapsed="false">
      <c r="A9" s="15" t="s">
        <v>173</v>
      </c>
      <c r="B9" s="15" t="s">
        <v>174</v>
      </c>
      <c r="C9" s="15" t="s">
        <v>175</v>
      </c>
      <c r="D9" s="15" t="s">
        <v>176</v>
      </c>
      <c r="E9" s="15" t="n">
        <v>4</v>
      </c>
      <c r="F9" s="15" t="n">
        <v>5</v>
      </c>
      <c r="G9" s="15" t="n">
        <v>2</v>
      </c>
      <c r="H9" s="15" t="s">
        <v>177</v>
      </c>
      <c r="I9" s="15" t="s">
        <v>178</v>
      </c>
      <c r="J9" s="15" t="s">
        <v>46</v>
      </c>
      <c r="K9" s="15" t="s">
        <v>179</v>
      </c>
      <c r="L9" s="15" t="s">
        <v>151</v>
      </c>
      <c r="M9" s="15" t="s">
        <v>180</v>
      </c>
    </row>
    <row r="10" customFormat="false" ht="27.75" hidden="false" customHeight="true" outlineLevel="0" collapsed="false">
      <c r="A10" s="16" t="s">
        <v>181</v>
      </c>
      <c r="B10" s="16" t="s">
        <v>174</v>
      </c>
      <c r="C10" s="16" t="s">
        <v>182</v>
      </c>
      <c r="D10" s="16" t="s">
        <v>183</v>
      </c>
      <c r="E10" s="16" t="n">
        <v>2</v>
      </c>
      <c r="F10" s="16" t="n">
        <v>5</v>
      </c>
      <c r="G10" s="16" t="n">
        <v>4</v>
      </c>
      <c r="H10" s="16" t="s">
        <v>163</v>
      </c>
      <c r="I10" s="16" t="s">
        <v>184</v>
      </c>
      <c r="J10" s="16" t="s">
        <v>33</v>
      </c>
      <c r="K10" s="16" t="s">
        <v>185</v>
      </c>
      <c r="L10" s="16" t="s">
        <v>158</v>
      </c>
      <c r="M10" s="16" t="s">
        <v>186</v>
      </c>
    </row>
    <row r="11" customFormat="false" ht="27.75" hidden="false" customHeight="true" outlineLevel="0" collapsed="false">
      <c r="A11" s="15" t="s">
        <v>187</v>
      </c>
      <c r="B11" s="15" t="s">
        <v>188</v>
      </c>
      <c r="C11" s="15" t="s">
        <v>189</v>
      </c>
      <c r="D11" s="15" t="s">
        <v>190</v>
      </c>
      <c r="E11" s="15" t="n">
        <v>5</v>
      </c>
      <c r="F11" s="15" t="n">
        <v>5</v>
      </c>
      <c r="G11" s="15" t="n">
        <v>0</v>
      </c>
      <c r="H11" s="15" t="s">
        <v>191</v>
      </c>
      <c r="I11" s="15" t="s">
        <v>192</v>
      </c>
      <c r="J11" s="15" t="s">
        <v>69</v>
      </c>
      <c r="K11" s="15" t="s">
        <v>193</v>
      </c>
      <c r="L11" s="15" t="s">
        <v>194</v>
      </c>
      <c r="M11" s="15" t="s">
        <v>195</v>
      </c>
    </row>
    <row r="12" customFormat="false" ht="27.75" hidden="false" customHeight="true" outlineLevel="0" collapsed="false">
      <c r="A12" s="16" t="s">
        <v>196</v>
      </c>
      <c r="B12" s="16" t="s">
        <v>188</v>
      </c>
      <c r="C12" s="16" t="s">
        <v>197</v>
      </c>
      <c r="D12" s="16" t="s">
        <v>198</v>
      </c>
      <c r="E12" s="16" t="n">
        <v>5</v>
      </c>
      <c r="F12" s="16" t="n">
        <v>5</v>
      </c>
      <c r="G12" s="16" t="n">
        <v>0</v>
      </c>
      <c r="H12" s="16" t="s">
        <v>191</v>
      </c>
      <c r="I12" s="16" t="s">
        <v>199</v>
      </c>
      <c r="J12" s="16" t="s">
        <v>69</v>
      </c>
      <c r="K12" s="16" t="s">
        <v>193</v>
      </c>
      <c r="L12" s="16" t="s">
        <v>194</v>
      </c>
      <c r="M12" s="16" t="s">
        <v>200</v>
      </c>
    </row>
    <row r="13" customFormat="false" ht="27.75" hidden="false" customHeight="true" outlineLevel="0" collapsed="false">
      <c r="A13" s="15" t="s">
        <v>201</v>
      </c>
      <c r="B13" s="15" t="s">
        <v>202</v>
      </c>
      <c r="C13" s="15" t="s">
        <v>203</v>
      </c>
      <c r="D13" s="15" t="s">
        <v>204</v>
      </c>
      <c r="E13" s="15" t="n">
        <v>3</v>
      </c>
      <c r="F13" s="15" t="n">
        <v>5</v>
      </c>
      <c r="G13" s="15" t="n">
        <v>3</v>
      </c>
      <c r="H13" s="15" t="s">
        <v>149</v>
      </c>
      <c r="I13" s="15" t="s">
        <v>205</v>
      </c>
      <c r="J13" s="15" t="s">
        <v>33</v>
      </c>
      <c r="K13" s="15" t="s">
        <v>206</v>
      </c>
      <c r="L13" s="15" t="s">
        <v>158</v>
      </c>
      <c r="M13" s="15" t="s">
        <v>207</v>
      </c>
    </row>
    <row r="14" customFormat="false" ht="27.75" hidden="false" customHeight="true" outlineLevel="0" collapsed="false">
      <c r="A14" s="16" t="s">
        <v>208</v>
      </c>
      <c r="B14" s="16" t="s">
        <v>202</v>
      </c>
      <c r="C14" s="16" t="s">
        <v>209</v>
      </c>
      <c r="D14" s="16" t="s">
        <v>210</v>
      </c>
      <c r="E14" s="16" t="n">
        <v>4</v>
      </c>
      <c r="F14" s="16" t="n">
        <v>5</v>
      </c>
      <c r="G14" s="16" t="n">
        <v>2</v>
      </c>
      <c r="H14" s="16" t="s">
        <v>177</v>
      </c>
      <c r="I14" s="16" t="s">
        <v>211</v>
      </c>
      <c r="J14" s="16" t="s">
        <v>33</v>
      </c>
      <c r="K14" s="16" t="s">
        <v>59</v>
      </c>
      <c r="L14" s="16" t="s">
        <v>158</v>
      </c>
      <c r="M14" s="16" t="s">
        <v>212</v>
      </c>
    </row>
    <row r="15" customFormat="false" ht="27.75" hidden="false" customHeight="true" outlineLevel="0" collapsed="false">
      <c r="A15" s="15" t="s">
        <v>213</v>
      </c>
      <c r="B15" s="15" t="s">
        <v>202</v>
      </c>
      <c r="C15" s="15" t="s">
        <v>214</v>
      </c>
      <c r="D15" s="15" t="s">
        <v>215</v>
      </c>
      <c r="E15" s="15" t="n">
        <v>4</v>
      </c>
      <c r="F15" s="15" t="n">
        <v>5</v>
      </c>
      <c r="G15" s="15" t="n">
        <v>2</v>
      </c>
      <c r="H15" s="15" t="s">
        <v>177</v>
      </c>
      <c r="I15" s="15" t="s">
        <v>216</v>
      </c>
      <c r="J15" s="15" t="s">
        <v>46</v>
      </c>
      <c r="K15" s="15" t="s">
        <v>59</v>
      </c>
      <c r="L15" s="15" t="s">
        <v>158</v>
      </c>
      <c r="M15" s="15" t="s">
        <v>217</v>
      </c>
    </row>
    <row r="16" customFormat="false" ht="27.75" hidden="false" customHeight="true" outlineLevel="0" collapsed="false">
      <c r="A16" s="16" t="s">
        <v>218</v>
      </c>
      <c r="B16" s="16" t="s">
        <v>202</v>
      </c>
      <c r="C16" s="16" t="s">
        <v>219</v>
      </c>
      <c r="D16" s="16" t="s">
        <v>220</v>
      </c>
      <c r="E16" s="16" t="n">
        <v>2</v>
      </c>
      <c r="F16" s="16" t="n">
        <v>5</v>
      </c>
      <c r="G16" s="16" t="n">
        <v>4</v>
      </c>
      <c r="H16" s="16" t="s">
        <v>163</v>
      </c>
      <c r="I16" s="16" t="s">
        <v>221</v>
      </c>
      <c r="J16" s="16" t="s">
        <v>33</v>
      </c>
      <c r="K16" s="16" t="s">
        <v>222</v>
      </c>
      <c r="L16" s="16" t="s">
        <v>151</v>
      </c>
      <c r="M16" s="16" t="s">
        <v>223</v>
      </c>
    </row>
    <row r="17" customFormat="false" ht="27.75" hidden="false" customHeight="true" outlineLevel="0" collapsed="false">
      <c r="A17" s="15" t="s">
        <v>224</v>
      </c>
      <c r="B17" s="15" t="s">
        <v>202</v>
      </c>
      <c r="C17" s="15" t="s">
        <v>225</v>
      </c>
      <c r="D17" s="15" t="s">
        <v>226</v>
      </c>
      <c r="E17" s="15" t="n">
        <v>1</v>
      </c>
      <c r="F17" s="15" t="n">
        <v>4</v>
      </c>
      <c r="G17" s="15" t="n">
        <v>4</v>
      </c>
      <c r="H17" s="15" t="s">
        <v>163</v>
      </c>
      <c r="I17" s="15" t="s">
        <v>227</v>
      </c>
      <c r="J17" s="15" t="s">
        <v>33</v>
      </c>
      <c r="K17" s="15" t="s">
        <v>157</v>
      </c>
      <c r="L17" s="15" t="s">
        <v>171</v>
      </c>
      <c r="M17" s="15" t="s">
        <v>228</v>
      </c>
    </row>
    <row r="18" customFormat="false" ht="27.75" hidden="false" customHeight="true" outlineLevel="0" collapsed="false">
      <c r="A18" s="16" t="s">
        <v>229</v>
      </c>
      <c r="B18" s="16" t="s">
        <v>202</v>
      </c>
      <c r="C18" s="16" t="s">
        <v>230</v>
      </c>
      <c r="D18" s="16" t="s">
        <v>231</v>
      </c>
      <c r="E18" s="16" t="n">
        <v>4</v>
      </c>
      <c r="F18" s="16" t="n">
        <v>5</v>
      </c>
      <c r="G18" s="16" t="n">
        <v>2</v>
      </c>
      <c r="H18" s="16" t="s">
        <v>177</v>
      </c>
      <c r="I18" s="16" t="s">
        <v>232</v>
      </c>
      <c r="J18" s="16" t="s">
        <v>33</v>
      </c>
      <c r="K18" s="16" t="s">
        <v>233</v>
      </c>
      <c r="L18" s="16" t="s">
        <v>158</v>
      </c>
      <c r="M18" s="16" t="s">
        <v>234</v>
      </c>
    </row>
    <row r="19" customFormat="false" ht="27.75" hidden="false" customHeight="true" outlineLevel="0" collapsed="false">
      <c r="A19" s="15" t="s">
        <v>235</v>
      </c>
      <c r="B19" s="15" t="s">
        <v>202</v>
      </c>
      <c r="C19" s="15" t="s">
        <v>236</v>
      </c>
      <c r="D19" s="15" t="s">
        <v>237</v>
      </c>
      <c r="E19" s="15" t="n">
        <v>4</v>
      </c>
      <c r="F19" s="15" t="n">
        <v>5</v>
      </c>
      <c r="G19" s="15" t="n">
        <v>2</v>
      </c>
      <c r="H19" s="15" t="s">
        <v>177</v>
      </c>
      <c r="I19" s="15" t="s">
        <v>238</v>
      </c>
      <c r="J19" s="15" t="s">
        <v>46</v>
      </c>
      <c r="K19" s="15" t="s">
        <v>222</v>
      </c>
      <c r="L19" s="15" t="s">
        <v>151</v>
      </c>
      <c r="M19" s="15" t="s">
        <v>239</v>
      </c>
    </row>
    <row r="20" customFormat="false" ht="27.75" hidden="false" customHeight="true" outlineLevel="0" collapsed="false">
      <c r="A20" s="16" t="s">
        <v>240</v>
      </c>
      <c r="B20" s="16" t="s">
        <v>202</v>
      </c>
      <c r="C20" s="16" t="s">
        <v>241</v>
      </c>
      <c r="D20" s="16" t="s">
        <v>242</v>
      </c>
      <c r="E20" s="16" t="n">
        <v>4</v>
      </c>
      <c r="F20" s="16" t="n">
        <v>5</v>
      </c>
      <c r="G20" s="16" t="n">
        <v>2</v>
      </c>
      <c r="H20" s="16" t="s">
        <v>177</v>
      </c>
      <c r="I20" s="16" t="s">
        <v>243</v>
      </c>
      <c r="J20" s="16" t="s">
        <v>46</v>
      </c>
      <c r="K20" s="16" t="s">
        <v>59</v>
      </c>
      <c r="L20" s="16" t="s">
        <v>158</v>
      </c>
      <c r="M20" s="16" t="s">
        <v>244</v>
      </c>
    </row>
    <row r="21" customFormat="false" ht="27.75" hidden="false" customHeight="true" outlineLevel="0" collapsed="false">
      <c r="A21" s="15" t="s">
        <v>245</v>
      </c>
      <c r="B21" s="15" t="s">
        <v>202</v>
      </c>
      <c r="C21" s="15" t="s">
        <v>246</v>
      </c>
      <c r="D21" s="15" t="s">
        <v>247</v>
      </c>
      <c r="E21" s="15" t="n">
        <v>2</v>
      </c>
      <c r="F21" s="15" t="n">
        <v>5</v>
      </c>
      <c r="G21" s="15" t="n">
        <v>4</v>
      </c>
      <c r="H21" s="15" t="s">
        <v>163</v>
      </c>
      <c r="I21" s="15" t="s">
        <v>248</v>
      </c>
      <c r="J21" s="15" t="s">
        <v>33</v>
      </c>
      <c r="K21" s="15" t="s">
        <v>249</v>
      </c>
      <c r="L21" s="15" t="s">
        <v>151</v>
      </c>
      <c r="M21" s="15" t="s">
        <v>250</v>
      </c>
    </row>
    <row r="22" customFormat="false" ht="27.75" hidden="false" customHeight="true" outlineLevel="0" collapsed="false">
      <c r="A22" s="16" t="s">
        <v>251</v>
      </c>
      <c r="B22" s="16" t="s">
        <v>202</v>
      </c>
      <c r="C22" s="16" t="s">
        <v>252</v>
      </c>
      <c r="D22" s="16" t="s">
        <v>253</v>
      </c>
      <c r="E22" s="16" t="n">
        <v>1</v>
      </c>
      <c r="F22" s="16" t="n">
        <v>4</v>
      </c>
      <c r="G22" s="16" t="n">
        <v>4</v>
      </c>
      <c r="H22" s="16" t="s">
        <v>163</v>
      </c>
      <c r="I22" s="16" t="s">
        <v>227</v>
      </c>
      <c r="J22" s="16" t="s">
        <v>33</v>
      </c>
      <c r="K22" s="16" t="s">
        <v>254</v>
      </c>
      <c r="L22" s="16" t="s">
        <v>171</v>
      </c>
      <c r="M22" s="16" t="s">
        <v>255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14"/>
  </cols>
  <sheetData>
    <row r="1" customFormat="false" ht="36" hidden="false" customHeight="true" outlineLevel="0" collapsed="false">
      <c r="A1" s="2" t="s">
        <v>256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false" outlineLevel="0" collapsed="false">
      <c r="A3" s="4" t="s">
        <v>257</v>
      </c>
      <c r="B3" s="4"/>
      <c r="C3" s="7" t="s">
        <v>258</v>
      </c>
      <c r="D3" s="7"/>
      <c r="E3" s="6" t="s">
        <v>259</v>
      </c>
      <c r="F3" s="6"/>
      <c r="G3" s="5" t="s">
        <v>260</v>
      </c>
      <c r="H3" s="5"/>
      <c r="I3" s="5" t="s">
        <v>261</v>
      </c>
      <c r="J3" s="5"/>
    </row>
    <row r="4" customFormat="false" ht="19.7" hidden="false" customHeight="false" outlineLevel="0" collapsed="false">
      <c r="A4" s="9" t="s">
        <v>262</v>
      </c>
      <c r="B4" s="9"/>
      <c r="C4" s="12" t="n">
        <f aca="false">COUNTIF('ISO27001 Gap Analysis'!H5:H200,"Fully Implemented")</f>
        <v>2</v>
      </c>
      <c r="D4" s="12"/>
      <c r="E4" s="11" t="n">
        <f aca="false">COUNTIF('ISO27001 Gap Analysis'!H5:H200,"Partially Implemented")</f>
        <v>4</v>
      </c>
      <c r="F4" s="11"/>
      <c r="G4" s="10" t="n">
        <f aca="false">COUNTIF('ISO27001 Gap Analysis'!H5:H200,"Not Implemented")</f>
        <v>6</v>
      </c>
      <c r="H4" s="10"/>
      <c r="I4" s="10" t="n">
        <f aca="false">COUNTIF('Risk Register'!I9:I200,"Critical")</f>
        <v>2</v>
      </c>
      <c r="J4" s="10"/>
    </row>
    <row r="6" customFormat="false" ht="13.5" hidden="false" customHeight="true" outlineLevel="0" collapsed="false"/>
    <row r="7" customFormat="false" ht="18" hidden="false" customHeight="true" outlineLevel="0" collapsed="false">
      <c r="A7" s="17" t="s">
        <v>263</v>
      </c>
      <c r="B7" s="17"/>
      <c r="C7" s="17"/>
      <c r="D7" s="17"/>
      <c r="E7" s="17"/>
      <c r="F7" s="17"/>
      <c r="G7" s="17"/>
      <c r="H7" s="17"/>
      <c r="I7" s="17"/>
      <c r="J7" s="17"/>
    </row>
    <row r="8" customFormat="false" ht="15" hidden="false" customHeight="false" outlineLevel="0" collapsed="false">
      <c r="A8" s="18" t="s">
        <v>9</v>
      </c>
      <c r="B8" s="18" t="s">
        <v>264</v>
      </c>
      <c r="C8" s="18" t="s">
        <v>265</v>
      </c>
    </row>
    <row r="9" customFormat="false" ht="15" hidden="false" customHeight="false" outlineLevel="0" collapsed="false">
      <c r="A9" s="19" t="s">
        <v>28</v>
      </c>
      <c r="B9" s="19" t="n">
        <f aca="false">COUNTIF('Risk Register'!B9:B200,"Cybersecurity")</f>
        <v>1</v>
      </c>
      <c r="C9" s="19" t="n">
        <f aca="false">COUNTIFS('Risk Register'!B9:B200,"Cybersecurity",'Risk Register'!I9:I200,"Critical")+COUNTIFS('Risk Register'!B9:B200,"Cybersecurity",'Risk Register'!I9:I200,"High")</f>
        <v>1</v>
      </c>
    </row>
    <row r="10" customFormat="false" ht="15" hidden="false" customHeight="false" outlineLevel="0" collapsed="false">
      <c r="A10" s="19" t="s">
        <v>40</v>
      </c>
      <c r="B10" s="19" t="n">
        <f aca="false">COUNTIF('Risk Register'!B9:B200,"Cloud Security")</f>
        <v>1</v>
      </c>
      <c r="C10" s="19" t="n">
        <f aca="false">COUNTIFS('Risk Register'!B9:B200,"Cloud Security",'Risk Register'!I9:I200,"Critical")+COUNTIFS('Risk Register'!B9:B200,"Cloud Security",'Risk Register'!I9:I200,"High")</f>
        <v>1</v>
      </c>
    </row>
    <row r="11" customFormat="false" ht="15" hidden="false" customHeight="false" outlineLevel="0" collapsed="false">
      <c r="A11" s="19" t="s">
        <v>53</v>
      </c>
      <c r="B11" s="19" t="n">
        <f aca="false">COUNTIF('Risk Register'!B9:B200,"Access Control")</f>
        <v>1</v>
      </c>
      <c r="C11" s="19" t="n">
        <f aca="false">COUNTIFS('Risk Register'!B9:B200,"Access Control",'Risk Register'!I9:I200,"Critical")+COUNTIFS('Risk Register'!B9:B200,"Access Control",'Risk Register'!I9:I200,"High")</f>
        <v>1</v>
      </c>
    </row>
    <row r="12" customFormat="false" ht="15" hidden="false" customHeight="false" outlineLevel="0" collapsed="false">
      <c r="A12" s="19" t="s">
        <v>63</v>
      </c>
      <c r="B12" s="19" t="n">
        <f aca="false">COUNTIF('Risk Register'!B9:B200,"Data Protection")</f>
        <v>1</v>
      </c>
      <c r="C12" s="19" t="n">
        <f aca="false">COUNTIFS('Risk Register'!B9:B200,"Data Protection",'Risk Register'!I9:I200,"Critical")+COUNTIFS('Risk Register'!B9:B200,"Data Protection",'Risk Register'!I9:I200,"High")</f>
        <v>1</v>
      </c>
    </row>
    <row r="13" customFormat="false" ht="15" hidden="false" customHeight="false" outlineLevel="0" collapsed="false">
      <c r="A13" s="19" t="s">
        <v>75</v>
      </c>
      <c r="B13" s="19" t="n">
        <f aca="false">COUNTIF('Risk Register'!B9:B200,"Compliance")</f>
        <v>1</v>
      </c>
      <c r="C13" s="19" t="n">
        <f aca="false">COUNTIFS('Risk Register'!B9:B200,"Compliance",'Risk Register'!I9:I200,"Critical")+COUNTIFS('Risk Register'!B9:B200,"Compliance",'Risk Register'!I9:I200,"High")</f>
        <v>0</v>
      </c>
    </row>
    <row r="14" customFormat="false" ht="15" hidden="false" customHeight="false" outlineLevel="0" collapsed="false">
      <c r="A14" s="19" t="s">
        <v>86</v>
      </c>
      <c r="B14" s="19" t="n">
        <f aca="false">COUNTIF('Risk Register'!B9:B200,"Third Party")</f>
        <v>1</v>
      </c>
      <c r="C14" s="19" t="n">
        <f aca="false">COUNTIFS('Risk Register'!B9:B200,"Third Party",'Risk Register'!I9:I200,"Critical")+COUNTIFS('Risk Register'!B9:B200,"Third Party",'Risk Register'!I9:I200,"High")</f>
        <v>1</v>
      </c>
    </row>
    <row r="15" customFormat="false" ht="15" hidden="false" customHeight="false" outlineLevel="0" collapsed="false">
      <c r="A15" s="19" t="s">
        <v>96</v>
      </c>
      <c r="B15" s="19" t="n">
        <f aca="false">COUNTIF('Risk Register'!B9:B200,"Human Risk")</f>
        <v>1</v>
      </c>
      <c r="C15" s="19" t="n">
        <f aca="false">COUNTIFS('Risk Register'!B9:B200,"Human Risk",'Risk Register'!I9:I200,"Critical")+COUNTIFS('Risk Register'!B9:B200,"Human Risk",'Risk Register'!I9:I200,"High")</f>
        <v>1</v>
      </c>
    </row>
    <row r="16" customFormat="false" ht="15" hidden="false" customHeight="false" outlineLevel="0" collapsed="false">
      <c r="A16" s="19" t="s">
        <v>105</v>
      </c>
      <c r="B16" s="19" t="n">
        <f aca="false">COUNTIF('Risk Register'!B9:B200,"Network Security")</f>
        <v>1</v>
      </c>
      <c r="C16" s="19" t="n">
        <f aca="false">COUNTIFS('Risk Register'!B9:B200,"Network Security",'Risk Register'!I9:I200,"Critical")+COUNTIFS('Risk Register'!B9:B200,"Network Security",'Risk Register'!I9:I200,"High")</f>
        <v>1</v>
      </c>
    </row>
    <row r="17" customFormat="false" ht="15" hidden="false" customHeight="false" outlineLevel="0" collapsed="false">
      <c r="A17" s="19" t="s">
        <v>115</v>
      </c>
      <c r="B17" s="19" t="n">
        <f aca="false">COUNTIF('Risk Register'!B9:B200,"Business Continuity")</f>
        <v>1</v>
      </c>
      <c r="C17" s="19" t="n">
        <f aca="false">COUNTIFS('Risk Register'!B9:B200,"Business Continuity",'Risk Register'!I9:I200,"Critical")+COUNTIFS('Risk Register'!B9:B200,"Business Continuity",'Risk Register'!I9:I200,"High")</f>
        <v>1</v>
      </c>
    </row>
    <row r="18" customFormat="false" ht="15" hidden="false" customHeight="false" outlineLevel="0" collapsed="false">
      <c r="A18" s="19" t="s">
        <v>124</v>
      </c>
      <c r="B18" s="19" t="n">
        <f aca="false">COUNTIF('Risk Register'!B9:B200,"Vulnerability Mgmt")</f>
        <v>1</v>
      </c>
      <c r="C18" s="19" t="n">
        <f aca="false">COUNTIFS('Risk Register'!B9:B200,"Vulnerability Mgmt",'Risk Register'!I9:I200,"Critical")+COUNTIFS('Risk Register'!B9:B200,"Vulnerability Mgmt",'Risk Register'!I9:I200,"High")</f>
        <v>1</v>
      </c>
    </row>
  </sheetData>
  <mergeCells count="12">
    <mergeCell ref="A1:J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2026-03-09T08:29:44Z</dcterms:created>
  <dc:creator>openpyxl</dc:creator>
  <dc:description/>
  <dc:language>en-US</dc:language>
  <cp:lastModifiedBy/>
  <dcterms:modified xsi:type="dcterms:W3CDTF">2026-03-09T08:29:45Z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